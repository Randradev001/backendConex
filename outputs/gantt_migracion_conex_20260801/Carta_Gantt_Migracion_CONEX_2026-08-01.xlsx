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910c53bd1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CONEX" sheetId="1" r:id="Rc1b7b4c7982f4bac"/>
    <x:sheet xmlns:r="http://schemas.openxmlformats.org/officeDocument/2006/relationships" name="Vision Macro" sheetId="2" r:id="R1a1a8c5195454a7c"/>
    <x:sheet xmlns:r="http://schemas.openxmlformats.org/officeDocument/2006/relationships" name="Supuestos" sheetId="3" r:id="R99d316f589d8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-m-yy"/>
    <x:numFmt numFmtId="201" formatCode="0"/>
    <x:numFmt numFmtId="202" formatCode="0%"/>
    <x:numFmt numFmtId="203" formatCode="#,##0"/>
  </x:numFmts>
  <x:fonts count="6">
    <x:font>
      <x:sz val="11"/>
      <x:name val="Carlito"/>
    </x:font>
    <x:font>
      <x:sz val="11"/>
      <x:color rgb="FF222222"/>
      <x:name val="Carlito"/>
    </x:font>
    <x:font>
      <x:b/>
      <x:sz val="11"/>
      <x:color rgb="FF666666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  <x:font>
      <x:b/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595959"/>
      </x:patternFill>
    </x:fill>
    <x:fill>
      <x:patternFill patternType="solid">
        <x:fgColor rgb="FFE7E6E6"/>
      </x:patternFill>
    </x:fill>
    <x:fill>
      <x:patternFill patternType="solid">
        <x:fgColor rgb="FF76933C"/>
      </x:patternFill>
    </x:fill>
    <x:fill>
      <x:patternFill patternType="solid">
        <x:fgColor rgb="FF4F81BD"/>
      </x:patternFill>
    </x:fill>
    <x:fill>
      <x:patternFill patternType="solid">
        <x:fgColor rgb="FFD9EAF7"/>
      </x:patternFill>
    </x:fill>
    <x:fill>
      <x:patternFill patternType="solid">
        <x:fgColor rgb="FFBFBFBF"/>
      </x:patternFill>
    </x:fill>
    <x:fill>
      <x:patternFill patternType="solid">
        <x:fgColor rgb="FFE2F0D9"/>
      </x:patternFill>
    </x:fill>
    <x:fill>
      <x:patternFill patternType="solid">
        <x:fgColor rgb="FFA6A6A6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9DC3E6"/>
      </x:patternFill>
    </x:fill>
    <x:fill>
      <x:patternFill patternType="solid">
        <x:fgColor rgb="FFA9D18E"/>
      </x:patternFill>
    </x:fill>
  </x:fills>
  <x:borders count="4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201" fontId="1" fillId="5" borderId="2" xfId="0" applyNumberFormat="1" applyFont="1" applyFill="1" applyBorder="1"/>
    <x:xf numFmtId="201" fontId="1" fillId="5" borderId="2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/>
    <x:xf numFmtId="202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  <x:xf numFmtId="201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202" fontId="1" fillId="6" borderId="0" xfId="0" applyNumberFormat="1" applyFont="1" applyFill="1" applyBorder="1" applyAlignment="1">
      <x:alignment horizontal="center"/>
    </x:xf>
    <x:xf numFmtId="200" fontId="1" fillId="6" borderId="0" xfId="0" applyNumberFormat="1" applyFont="1" applyFill="1" applyBorder="1" applyAlignment="1">
      <x:alignment horizontal="center"/>
    </x:xf>
    <x:xf numFmtId="201" fontId="1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wrapText="1"/>
    </x:xf>
    <x:xf numFmtId="202" fontId="3" fillId="6" borderId="0" xfId="0" applyNumberFormat="1" applyFont="1" applyFill="1" applyBorder="1" applyAlignment="1">
      <x:alignment horizontal="center"/>
    </x:xf>
    <x:xf numFmtId="200" fontId="3" fillId="6" borderId="0" xfId="0" applyNumberFormat="1" applyFont="1" applyFill="1" applyBorder="1" applyAlignment="1">
      <x:alignment horizontal="center"/>
    </x:xf>
    <x:xf numFmtId="201" fontId="3" fillId="6" borderId="0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wrapText="1"/>
    </x:xf>
    <x:xf numFmtId="202" fontId="3" fillId="6" borderId="1" xfId="0" applyNumberFormat="1" applyFont="1" applyFill="1" applyBorder="1" applyAlignment="1">
      <x:alignment horizontal="center"/>
    </x:xf>
    <x:xf numFmtId="200" fontId="3" fillId="6" borderId="1" xfId="0" applyNumberFormat="1" applyFont="1" applyFill="1" applyBorder="1" applyAlignment="1">
      <x:alignment horizontal="center"/>
    </x:xf>
    <x:xf numFmtId="201" fontId="3" fillId="6" borderId="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wrapText="1"/>
    </x:xf>
    <x:xf numFmtId="202" fontId="1" fillId="7" borderId="0" xfId="0" applyNumberFormat="1" applyFont="1" applyFill="1" applyBorder="1" applyAlignment="1">
      <x:alignment horizontal="center"/>
    </x:xf>
    <x:xf numFmtId="200" fontId="1" fillId="7" borderId="0" xfId="0" applyNumberFormat="1" applyFont="1" applyFill="1" applyBorder="1" applyAlignment="1">
      <x:alignment horizontal="center"/>
    </x:xf>
    <x:xf numFmtId="201" fontId="1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wrapText="1"/>
    </x:xf>
    <x:xf numFmtId="202" fontId="3" fillId="7" borderId="0" xfId="0" applyNumberFormat="1" applyFont="1" applyFill="1" applyBorder="1" applyAlignment="1">
      <x:alignment horizontal="center"/>
    </x:xf>
    <x:xf numFmtId="200" fontId="3" fillId="7" borderId="0" xfId="0" applyNumberFormat="1" applyFont="1" applyFill="1" applyBorder="1" applyAlignment="1">
      <x:alignment horizontal="center"/>
    </x:xf>
    <x:xf numFmtId="201" fontId="3" fillId="7" borderId="0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wrapText="1"/>
    </x:xf>
    <x:xf numFmtId="202" fontId="3" fillId="7" borderId="1" xfId="0" applyNumberFormat="1" applyFont="1" applyFill="1" applyBorder="1" applyAlignment="1">
      <x:alignment horizontal="center"/>
    </x:xf>
    <x:xf numFmtId="200" fontId="3" fillId="7" borderId="1" xfId="0" applyNumberFormat="1" applyFont="1" applyFill="1" applyBorder="1" applyAlignment="1">
      <x:alignment horizontal="center"/>
    </x:xf>
    <x:xf numFmtId="201" fontId="3" fillId="7" borderId="1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wrapText="1"/>
    </x:xf>
    <x:xf numFmtId="202" fontId="1" fillId="8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 applyAlignment="1">
      <x:alignment horizontal="center"/>
    </x:xf>
    <x:xf numFmtId="201" fontId="1" fillId="8" borderId="0" xfId="0" applyNumberFormat="1" applyFont="1" applyFill="1" applyBorder="1" applyAlignment="1">
      <x:alignment horizontal="center"/>
    </x:xf>
    <x:xf numFmtId="0" fontId="1" fillId="8" borderId="2" xfId="0" applyNumberFormat="1" applyFont="1" applyFill="1" applyBorder="1" applyAlignment="1">
      <x:alignment horizontal="center"/>
    </x:xf>
    <x:xf numFmtId="0" fontId="1" fillId="8" borderId="2" xfId="0" applyNumberFormat="1" applyFont="1" applyFill="1" applyBorder="1" applyAlignment="1">
      <x:alignment wrapText="1"/>
    </x:xf>
    <x:xf numFmtId="202" fontId="1" fillId="8" borderId="2" xfId="0" applyNumberFormat="1" applyFont="1" applyFill="1" applyBorder="1" applyAlignment="1">
      <x:alignment horizontal="center"/>
    </x:xf>
    <x:xf numFmtId="200" fontId="1" fillId="8" borderId="2" xfId="0" applyNumberFormat="1" applyFont="1" applyFill="1" applyBorder="1" applyAlignment="1">
      <x:alignment horizontal="center"/>
    </x:xf>
    <x:xf numFmtId="201" fontId="1" fillId="8" borderId="2" xfId="0" applyNumberFormat="1" applyFont="1" applyFill="1" applyBorder="1" applyAlignment="1">
      <x:alignment horizontal="center"/>
    </x:xf>
    <x:xf numFmtId="202" fontId="1" fillId="9" borderId="2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wrapText="1"/>
    </x:xf>
    <x:xf numFmtId="202" fontId="1" fillId="10" borderId="0" xfId="0" applyNumberFormat="1" applyFont="1" applyFill="1" applyBorder="1" applyAlignment="1">
      <x:alignment horizontal="center"/>
    </x:xf>
    <x:xf numFmtId="200" fontId="1" fillId="10" borderId="0" xfId="0" applyNumberFormat="1" applyFont="1" applyFill="1" applyBorder="1" applyAlignment="1">
      <x:alignment horizontal="center"/>
    </x:xf>
    <x:xf numFmtId="201" fontId="1" fillId="10" borderId="0" xfId="0" applyNumberFormat="1" applyFont="1" applyFill="1" applyBorder="1" applyAlignment="1">
      <x:alignment horizontal="center"/>
    </x:xf>
    <x:xf numFmtId="0" fontId="1" fillId="10" borderId="2" xfId="0" applyNumberFormat="1" applyFont="1" applyFill="1" applyBorder="1" applyAlignment="1">
      <x:alignment horizontal="center"/>
    </x:xf>
    <x:xf numFmtId="0" fontId="1" fillId="10" borderId="2" xfId="0" applyNumberFormat="1" applyFont="1" applyFill="1" applyBorder="1" applyAlignment="1">
      <x:alignment wrapText="1"/>
    </x:xf>
    <x:xf numFmtId="202" fontId="1" fillId="10" borderId="2" xfId="0" applyNumberFormat="1" applyFont="1" applyFill="1" applyBorder="1" applyAlignment="1">
      <x:alignment horizontal="center"/>
    </x:xf>
    <x:xf numFmtId="200" fontId="1" fillId="10" borderId="2" xfId="0" applyNumberFormat="1" applyFont="1" applyFill="1" applyBorder="1" applyAlignment="1">
      <x:alignment horizontal="center"/>
    </x:xf>
    <x:xf numFmtId="201" fontId="1" fillId="10" borderId="2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1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horizontal="right"/>
    </x:xf>
    <x:xf numFmtId="0" fontId="5" fillId="11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/>
    <x:xf numFmtId="0" fontId="1" fillId="12" borderId="2" xfId="0" applyNumberFormat="1" applyFont="1" applyFill="1" applyBorder="1"/>
    <x:xf numFmtId="0" fontId="1" fillId="12" borderId="3" xfId="0" applyNumberFormat="1" applyFont="1" applyFill="1" applyBorder="1"/>
    <x:xf numFmtId="0" fontId="1" fillId="13" borderId="2" xfId="0" applyNumberFormat="1" applyFont="1" applyFill="1" applyBorder="1"/>
    <x:xf numFmtId="0" fontId="1" fillId="13" borderId="3" xfId="0" applyNumberFormat="1" applyFont="1" applyFill="1" applyBorder="1"/>
    <x:xf numFmtId="0" fontId="1" fillId="14" borderId="2" xfId="0" applyNumberFormat="1" applyFont="1" applyFill="1" applyBorder="1"/>
    <x:xf numFmtId="0" fontId="1" fillId="14" borderId="3" xfId="0" applyNumberFormat="1" applyFont="1" applyFill="1" applyBorder="1"/>
    <x:xf numFmtId="0" fontId="1" fillId="15" borderId="2" xfId="0" applyNumberFormat="1" applyFont="1" applyFill="1" applyBorder="1"/>
    <x:xf numFmtId="0" fontId="1" fillId="15" borderId="3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203" fontId="0" fillId="5" borderId="2" xfId="0" applyNumberFormat="1" applyFont="1" applyFill="1" applyBorder="1" applyAlignment="1">
      <x:alignment wrapText="1"/>
    </x:xf>
    <x:xf numFmtId="202" fontId="0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203" fontId="5" fillId="5" borderId="2" xfId="0" applyNumberFormat="1" applyFont="1" applyFill="1" applyBorder="1" applyAlignment="1">
      <x:alignment wrapText="1"/>
    </x:xf>
    <x:xf numFmtId="202" fontId="5" fillId="5" borderId="2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3" fontId="5" fillId="5" borderId="1" xfId="0" applyNumberFormat="1" applyFont="1" applyFill="1" applyBorder="1" applyAlignment="1">
      <x:alignment wrapText="1"/>
    </x:xf>
    <x:xf numFmtId="202" fontId="5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203" fontId="0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9a041625847ed" /><Relationship Type="http://schemas.openxmlformats.org/officeDocument/2006/relationships/theme" Target="/xl/theme/theme1.xml" Id="Rfbe04d2c23f94bcd" /><Relationship Type="http://schemas.openxmlformats.org/officeDocument/2006/relationships/sharedStrings" Target="/xl/sharedStrings.xml" Id="R7911532d89a24174" /><Relationship Type="http://schemas.openxmlformats.org/officeDocument/2006/relationships/worksheet" Target="/xl/worksheets/sheet1.xml" Id="Rc1b7b4c7982f4bac" /><Relationship Type="http://schemas.openxmlformats.org/officeDocument/2006/relationships/worksheet" Target="/xl/worksheets/sheet2.xml" Id="R1a1a8c5195454a7c" /><Relationship Type="http://schemas.openxmlformats.org/officeDocument/2006/relationships/worksheet" Target="/xl/worksheets/sheet3.xml" Id="R99d316f589d844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8" hidden="0" customWidth="1"/>
    <x:col min="3" max="3" width="31" hidden="0" customWidth="1"/>
    <x:col min="4" max="4" width="21" hidden="0" customWidth="1"/>
    <x:col min="5" max="5" width="13" hidden="0" customWidth="1"/>
    <x:col min="6" max="6" width="13" hidden="0" customWidth="1"/>
    <x:col min="7" max="7" width="13" hidden="0" customWidth="1"/>
    <x:col min="8" max="8" width="8" hidden="0" customWidth="1"/>
    <x:col min="9" max="9" width="2.5" hidden="0" customWidth="1"/>
    <x:col min="10" max="10" width="2.5" hidden="0" customWidth="1"/>
    <x:col min="11" max="11" width="4.099999904632568" hidden="0" customWidth="1"/>
    <x:col min="12" max="12" width="4.099999904632568" hidden="0" customWidth="1"/>
    <x:col min="13" max="13" width="4.099999904632568" hidden="0" customWidth="1"/>
    <x:col min="14" max="14" width="4.099999904632568" hidden="0" customWidth="1"/>
    <x:col min="15" max="15" width="4.099999904632568" hidden="0" customWidth="1"/>
    <x:col min="16" max="16" width="4.099999904632568" hidden="0" customWidth="1"/>
    <x:col min="17" max="17" width="4.099999904632568" hidden="0" customWidth="1"/>
    <x:col min="18" max="18" width="4.099999904632568" hidden="0" customWidth="1"/>
    <x:col min="19" max="19" width="4.099999904632568" hidden="0" customWidth="1"/>
    <x:col min="20" max="20" width="4.099999904632568" hidden="0" customWidth="1"/>
    <x:col min="21" max="21" width="4.099999904632568" hidden="0" customWidth="1"/>
    <x:col min="22" max="22" width="4.099999904632568" hidden="0" customWidth="1"/>
    <x:col min="23" max="23" width="4.099999904632568" hidden="0" customWidth="1"/>
  </x:cols>
  <x:sheetData>
    <x:row r="1" ht="32" customHeight="1">
      <x:c r="A1" s="2"/>
      <x:c r="B1" s="2"/>
      <x:c r="C1" s="4" t="str">
        <x:v>Carta Gantt Migración CONEX</x:v>
      </x:c>
      <x:c r="D1" s="4"/>
      <x:c r="E1" s="4"/>
      <x:c r="F1" s="4"/>
      <x:c r="G1" s="4"/>
      <x:c r="H1" s="4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2" customHeight="1">
      <x:c r="A2" s="2"/>
      <x:c r="B2" s="2"/>
      <x:c r="C2" s="2" t="str">
        <x:v>Cliente: CONEX</x:v>
      </x:c>
      <x:c r="D2" s="2"/>
      <x:c r="E2" s="2"/>
      <x:c r="F2" s="2"/>
      <x:c r="G2" s="2"/>
      <x:c r="H2" s="2"/>
      <x:c r="I2" s="2"/>
      <x:c r="J2" s="2"/>
      <x:c r="K2" s="16" t="str">
        <x:v>agosto 2026</x:v>
      </x:c>
      <x:c r="L2" s="16"/>
      <x:c r="M2" s="16"/>
      <x:c r="N2" s="16"/>
      <x:c r="O2" s="16"/>
      <x:c r="P2" s="16" t="str">
        <x:v>septiembre 2026</x:v>
      </x:c>
      <x:c r="Q2" s="16"/>
      <x:c r="R2" s="16"/>
      <x:c r="S2" s="16"/>
      <x:c r="T2" s="16" t="str">
        <x:v>octubre 2026</x:v>
      </x:c>
      <x:c r="U2" s="16"/>
      <x:c r="V2" s="16"/>
      <x:c r="W2" s="16"/>
    </x:row>
    <x:row r="3" ht="22" customHeight="1">
      <x:c r="A3" s="2"/>
      <x:c r="B3" s="2"/>
      <x:c r="C3" s="2"/>
      <x:c r="D3" s="5" t="str">
        <x:v>Inicio del proyecto:</x:v>
      </x:c>
      <x:c r="E3" s="2"/>
      <x:c r="F3" s="8" t="n">
        <x:f>F7</x:f>
        <x:v>46235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22" customHeight="1">
      <x:c r="A4" s="2"/>
      <x:c r="B4" s="2"/>
      <x:c r="C4" s="9" t="str">
        <x:v>ITEMS RELEVANTES</x:v>
      </x:c>
      <x:c r="D4" s="10" t="str">
        <x:v>Término del proyecto:</x:v>
      </x:c>
      <x:c r="E4" s="2"/>
      <x:c r="F4" s="8" t="n">
        <x:f>G7</x:f>
        <x:v>46325</x:v>
      </x:c>
      <x:c r="G4" s="2"/>
      <x:c r="H4" s="2"/>
      <x:c r="I4" s="2"/>
      <x:c r="J4" s="2"/>
      <x:c r="K4" s="20" t="n">
        <x:v>1</x:v>
      </x:c>
      <x:c r="L4" s="20" t="n">
        <x:v>8</x:v>
      </x:c>
      <x:c r="M4" s="20" t="n">
        <x:v>15</x:v>
      </x:c>
      <x:c r="N4" s="20" t="n">
        <x:v>22</x:v>
      </x:c>
      <x:c r="O4" s="20" t="n">
        <x:v>29</x:v>
      </x:c>
      <x:c r="P4" s="20" t="n">
        <x:v>5</x:v>
      </x:c>
      <x:c r="Q4" s="20" t="n">
        <x:v>12</x:v>
      </x:c>
      <x:c r="R4" s="20" t="n">
        <x:v>19</x:v>
      </x:c>
      <x:c r="S4" s="20" t="n">
        <x:v>26</x:v>
      </x:c>
      <x:c r="T4" s="20" t="n">
        <x:v>3</x:v>
      </x:c>
      <x:c r="U4" s="20" t="n">
        <x:v>10</x:v>
      </x:c>
      <x:c r="V4" s="20" t="n">
        <x:v>17</x:v>
      </x:c>
      <x:c r="W4" s="20" t="n">
        <x:v>24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3" t="str">
        <x:v>S1</x:v>
      </x:c>
      <x:c r="L5" s="23" t="str">
        <x:v>S2</x:v>
      </x:c>
      <x:c r="M5" s="23" t="str">
        <x:v>S3</x:v>
      </x:c>
      <x:c r="N5" s="23" t="str">
        <x:v>S4</x:v>
      </x:c>
      <x:c r="O5" s="23" t="str">
        <x:v>S5</x:v>
      </x:c>
      <x:c r="P5" s="23" t="str">
        <x:v>S6</x:v>
      </x:c>
      <x:c r="Q5" s="23" t="str">
        <x:v>S7</x:v>
      </x:c>
      <x:c r="R5" s="23" t="str">
        <x:v>S8</x:v>
      </x:c>
      <x:c r="S5" s="23" t="str">
        <x:v>S9</x:v>
      </x:c>
      <x:c r="T5" s="23" t="str">
        <x:v>S10</x:v>
      </x:c>
      <x:c r="U5" s="23" t="str">
        <x:v>S11</x:v>
      </x:c>
      <x:c r="V5" s="23" t="str">
        <x:v>S12</x:v>
      </x:c>
      <x:c r="W5" s="23" t="str">
        <x:v>S13</x:v>
      </x:c>
    </x:row>
    <x:row r="6" ht="24" customHeight="1">
      <x:c r="A6" s="2"/>
      <x:c r="B6" s="14" t="str">
        <x:v>ID</x:v>
      </x:c>
      <x:c r="C6" s="15" t="str">
        <x:v>TAREA</x:v>
      </x:c>
      <x:c r="D6" s="15"/>
      <x:c r="E6" s="14" t="str">
        <x:v>PROGRESO</x:v>
      </x:c>
      <x:c r="F6" s="14" t="str">
        <x:v>INICIO</x:v>
      </x:c>
      <x:c r="G6" s="14" t="str">
        <x:v>FIN</x:v>
      </x:c>
      <x:c r="H6" s="14" t="str">
        <x:v>DÍAS</x:v>
      </x:c>
      <x:c r="I6" s="2"/>
      <x:c r="J6" s="2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</x:row>
    <x:row r="7" ht="22" customHeight="1">
      <x:c r="A7" s="82" t="n">
        <x:v>0</x:v>
      </x:c>
      <x:c r="B7" s="41" t="str">
        <x:v>0</x:v>
      </x:c>
      <x:c r="C7" s="42" t="str">
        <x:v>Migración comercial CONEX GX8 a plataforma web</x:v>
      </x:c>
      <x:c r="D7" s="42"/>
      <x:c r="E7" s="43" t="n">
        <x:f>IFERROR(SUMPRODUCT(E8:E40,A8:A40)/SUM(A8:A40),0)</x:f>
        <x:v>0.09448924731182798</x:v>
      </x:c>
      <x:c r="F7" s="44" t="n">
        <x:v>46235</x:v>
      </x:c>
      <x:c r="G7" s="44" t="n">
        <x:f>MAX(G8:G40)</x:f>
        <x:v>46325</x:v>
      </x:c>
      <x:c r="H7" s="45" t="n">
        <x:f>G7-F7+1</x:f>
        <x:v>91</x:v>
      </x:c>
      <x:c r="I7" s="2"/>
      <x:c r="J7" s="2"/>
      <x:c r="K7" s="90"/>
      <x:c r="L7" s="90"/>
      <x:c r="M7" s="90"/>
      <x:c r="N7" s="90"/>
      <x:c r="O7" s="90"/>
      <x:c r="P7" s="90"/>
      <x:c r="Q7" s="90"/>
      <x:c r="R7" s="90"/>
      <x:c r="S7" s="90"/>
      <x:c r="T7" s="90"/>
      <x:c r="U7" s="90"/>
      <x:c r="V7" s="90"/>
      <x:c r="W7" s="90"/>
    </x:row>
    <x:row r="8" ht="22" customHeight="1">
      <x:c r="A8" s="82" t="n">
        <x:v>0</x:v>
      </x:c>
      <x:c r="B8" s="56" t="str">
        <x:v>1</x:v>
      </x:c>
      <x:c r="C8" s="57" t="str">
        <x:v>Inicio, alcance y planificación</x:v>
      </x:c>
      <x:c r="D8" s="57"/>
      <x:c r="E8" s="58" t="n">
        <x:f>IFERROR(SUMPRODUCT(E9:E11,A9:A11)/SUM(A9:A11),0)</x:f>
        <x:v>0.4555555555555555</x:v>
      </x:c>
      <x:c r="F8" s="59" t="n">
        <x:f>MIN(F9:F11)</x:f>
        <x:v>46237</x:v>
      </x:c>
      <x:c r="G8" s="59" t="n">
        <x:f>MAX(G9:G11)</x:f>
        <x:v>46248</x:v>
      </x:c>
      <x:c r="H8" s="60" t="n">
        <x:f>G8-F8+1</x:f>
        <x:v>12</x:v>
      </x:c>
      <x:c r="I8" s="2"/>
      <x:c r="J8" s="2"/>
      <x:c r="K8" s="92"/>
      <x:c r="L8" s="92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</x:row>
    <x:row r="9" ht="22" customHeight="1">
      <x:c r="A9" s="82" t="n">
        <x:f>H9</x:f>
        <x:v>3</x:v>
      </x:c>
      <x:c r="B9" s="66" t="str">
        <x:v>1.1</x:v>
      </x:c>
      <x:c r="C9" s="67" t="str">
        <x:v>Kickoff y gobierno del proyecto</x:v>
      </x:c>
      <x:c r="D9" s="67"/>
      <x:c r="E9" s="71" t="n">
        <x:v>0.4</x:v>
      </x:c>
      <x:c r="F9" s="69" t="n">
        <x:v>46237</x:v>
      </x:c>
      <x:c r="G9" s="69" t="n">
        <x:v>46239</x:v>
      </x:c>
      <x:c r="H9" s="70" t="n">
        <x:f>G9-F9+1</x:f>
        <x:v>3</x:v>
      </x:c>
      <x:c r="I9" s="2"/>
      <x:c r="J9" s="2"/>
      <x:c r="K9" s="94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</x:row>
    <x:row r="10" ht="22" customHeight="1">
      <x:c r="A10" s="82" t="n">
        <x:f>H10</x:f>
        <x:v>10</x:v>
      </x:c>
      <x:c r="B10" s="66" t="str">
        <x:v>1.2</x:v>
      </x:c>
      <x:c r="C10" s="67" t="str">
        <x:v>Validación de alcance y módulos prioritarios</x:v>
      </x:c>
      <x:c r="D10" s="67"/>
      <x:c r="E10" s="71" t="n">
        <x:v>0.6</x:v>
      </x:c>
      <x:c r="F10" s="69" t="n">
        <x:v>46237</x:v>
      </x:c>
      <x:c r="G10" s="69" t="n">
        <x:v>46246</x:v>
      </x:c>
      <x:c r="H10" s="70" t="n">
        <x:f>G10-F10+1</x:f>
        <x:v>10</x:v>
      </x:c>
      <x:c r="I10" s="2"/>
      <x:c r="J10" s="2"/>
      <x:c r="K10" s="94"/>
      <x:c r="L10" s="94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</x:row>
    <x:row r="11" ht="22" customHeight="1">
      <x:c r="A11" s="82" t="n">
        <x:f>H11</x:f>
        <x:v>5</x:v>
      </x:c>
      <x:c r="B11" s="66" t="str">
        <x:v>1.3</x:v>
      </x:c>
      <x:c r="C11" s="67" t="str">
        <x:v>Plan de entregas y criterios de aceptación</x:v>
      </x:c>
      <x:c r="D11" s="67"/>
      <x:c r="E11" s="71" t="n">
        <x:v>0.2</x:v>
      </x:c>
      <x:c r="F11" s="69" t="n">
        <x:v>46244</x:v>
      </x:c>
      <x:c r="G11" s="69" t="n">
        <x:v>46248</x:v>
      </x:c>
      <x:c r="H11" s="70" t="n">
        <x:f>G11-F11+1</x:f>
        <x:v>5</x:v>
      </x:c>
      <x:c r="I11" s="2"/>
      <x:c r="J11" s="2"/>
      <x:c r="K11" s="88"/>
      <x:c r="L11" s="94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</x:row>
    <x:row r="12" ht="22" customHeight="1">
      <x:c r="A12" s="82" t="n">
        <x:v>0</x:v>
      </x:c>
      <x:c r="B12" s="56" t="str">
        <x:v>2</x:v>
      </x:c>
      <x:c r="C12" s="57" t="str">
        <x:v>Base técnica y arquitectura</x:v>
      </x:c>
      <x:c r="D12" s="57"/>
      <x:c r="E12" s="58" t="n">
        <x:f>IFERROR(SUMPRODUCT(E13:E15,A13:A15)/SUM(A13:A15),0)</x:f>
        <x:v>0.15</x:v>
      </x:c>
      <x:c r="F12" s="59" t="n">
        <x:f>MIN(F13:F15)</x:f>
        <x:v>46244</x:v>
      </x:c>
      <x:c r="G12" s="59" t="n">
        <x:f>MAX(G13:G15)</x:f>
        <x:v>46276</x:v>
      </x:c>
      <x:c r="H12" s="60" t="n">
        <x:f>G12-F12+1</x:f>
        <x:v>33</x:v>
      </x:c>
      <x:c r="I12" s="2"/>
      <x:c r="J12" s="2"/>
      <x:c r="K12" s="88"/>
      <x:c r="L12" s="92"/>
      <x:c r="M12" s="92"/>
      <x:c r="N12" s="92"/>
      <x:c r="O12" s="92"/>
      <x:c r="P12" s="92"/>
      <x:c r="Q12" s="88"/>
      <x:c r="R12" s="88"/>
      <x:c r="S12" s="88"/>
      <x:c r="T12" s="88"/>
      <x:c r="U12" s="88"/>
      <x:c r="V12" s="88"/>
      <x:c r="W12" s="88"/>
    </x:row>
    <x:row r="13" ht="22" customHeight="1">
      <x:c r="A13" s="82" t="n">
        <x:f>H13</x:f>
        <x:v>12</x:v>
      </x:c>
      <x:c r="B13" s="66" t="str">
        <x:v>2.1</x:v>
      </x:c>
      <x:c r="C13" s="67" t="str">
        <x:v>Definición de base operativa y multiempresa</x:v>
      </x:c>
      <x:c r="D13" s="67"/>
      <x:c r="E13" s="71" t="n">
        <x:v>0.2</x:v>
      </x:c>
      <x:c r="F13" s="69" t="n">
        <x:v>46244</x:v>
      </x:c>
      <x:c r="G13" s="69" t="n">
        <x:v>46255</x:v>
      </x:c>
      <x:c r="H13" s="70" t="n">
        <x:f>G13-F13+1</x:f>
        <x:v>12</x:v>
      </x:c>
      <x:c r="I13" s="2"/>
      <x:c r="J13" s="2"/>
      <x:c r="K13" s="88"/>
      <x:c r="L13" s="94"/>
      <x:c r="M13" s="94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</x:row>
    <x:row r="14" ht="22" customHeight="1">
      <x:c r="A14" s="82" t="n">
        <x:f>H14</x:f>
        <x:v>19</x:v>
      </x:c>
      <x:c r="B14" s="66" t="str">
        <x:v>2.2</x:v>
      </x:c>
      <x:c r="C14" s="67" t="str">
        <x:v>Preparación de esquema, conectores y APIs base</x:v>
      </x:c>
      <x:c r="D14" s="67"/>
      <x:c r="E14" s="71" t="n">
        <x:v>0.15</x:v>
      </x:c>
      <x:c r="F14" s="69" t="n">
        <x:v>46251</x:v>
      </x:c>
      <x:c r="G14" s="69" t="n">
        <x:v>46269</x:v>
      </x:c>
      <x:c r="H14" s="70" t="n">
        <x:f>G14-F14+1</x:f>
        <x:v>19</x:v>
      </x:c>
      <x:c r="I14" s="2"/>
      <x:c r="J14" s="2"/>
      <x:c r="K14" s="88"/>
      <x:c r="L14" s="88"/>
      <x:c r="M14" s="94"/>
      <x:c r="N14" s="94"/>
      <x:c r="O14" s="94"/>
      <x:c r="P14" s="88"/>
      <x:c r="Q14" s="88"/>
      <x:c r="R14" s="88"/>
      <x:c r="S14" s="88"/>
      <x:c r="T14" s="88"/>
      <x:c r="U14" s="88"/>
      <x:c r="V14" s="88"/>
      <x:c r="W14" s="88"/>
    </x:row>
    <x:row r="15" ht="22" customHeight="1">
      <x:c r="A15" s="82" t="n">
        <x:f>H15</x:f>
        <x:v>12</x:v>
      </x:c>
      <x:c r="B15" s="66" t="str">
        <x:v>2.3</x:v>
      </x:c>
      <x:c r="C15" s="67" t="str">
        <x:v>Contratos comunes, auditoría y trazabilidad</x:v>
      </x:c>
      <x:c r="D15" s="67"/>
      <x:c r="E15" s="71" t="n">
        <x:v>0.1</x:v>
      </x:c>
      <x:c r="F15" s="69" t="n">
        <x:v>46265</x:v>
      </x:c>
      <x:c r="G15" s="69" t="n">
        <x:v>46276</x:v>
      </x:c>
      <x:c r="H15" s="70" t="n">
        <x:f>G15-F15+1</x:f>
        <x:v>12</x:v>
      </x:c>
      <x:c r="I15" s="2"/>
      <x:c r="J15" s="2"/>
      <x:c r="K15" s="88"/>
      <x:c r="L15" s="88"/>
      <x:c r="M15" s="88"/>
      <x:c r="N15" s="88"/>
      <x:c r="O15" s="94"/>
      <x:c r="P15" s="94"/>
      <x:c r="Q15" s="88"/>
      <x:c r="R15" s="88"/>
      <x:c r="S15" s="88"/>
      <x:c r="T15" s="88"/>
      <x:c r="U15" s="88"/>
      <x:c r="V15" s="88"/>
      <x:c r="W15" s="88"/>
    </x:row>
    <x:row r="16" ht="22" customHeight="1">
      <x:c r="A16" s="82" t="n">
        <x:v>0</x:v>
      </x:c>
      <x:c r="B16" s="56" t="str">
        <x:v>3</x:v>
      </x:c>
      <x:c r="C16" s="57" t="str">
        <x:v>Seguridad y permisos</x:v>
      </x:c>
      <x:c r="D16" s="57"/>
      <x:c r="E16" s="58" t="n">
        <x:f>IFERROR(SUMPRODUCT(E17:E19,A17:A19)/SUM(A17:A19),0)</x:f>
        <x:v>0.35000000000000003</x:v>
      </x:c>
      <x:c r="F16" s="59" t="n">
        <x:f>MIN(F17:F19)</x:f>
        <x:v>46251</x:v>
      </x:c>
      <x:c r="G16" s="59" t="n">
        <x:f>MAX(G17:G19)</x:f>
        <x:v>46283</x:v>
      </x:c>
      <x:c r="H16" s="60" t="n">
        <x:f>G16-F16+1</x:f>
        <x:v>33</x:v>
      </x:c>
      <x:c r="I16" s="2"/>
      <x:c r="J16" s="2"/>
      <x:c r="K16" s="88"/>
      <x:c r="L16" s="88"/>
      <x:c r="M16" s="92"/>
      <x:c r="N16" s="92"/>
      <x:c r="O16" s="92"/>
      <x:c r="P16" s="92"/>
      <x:c r="Q16" s="92"/>
      <x:c r="R16" s="88"/>
      <x:c r="S16" s="88"/>
      <x:c r="T16" s="88"/>
      <x:c r="U16" s="88"/>
      <x:c r="V16" s="88"/>
      <x:c r="W16" s="88"/>
    </x:row>
    <x:row r="17" ht="22" customHeight="1">
      <x:c r="A17" s="82" t="n">
        <x:f>H17</x:f>
        <x:v>12</x:v>
      </x:c>
      <x:c r="B17" s="66" t="str">
        <x:v>3.1</x:v>
      </x:c>
      <x:c r="C17" s="67" t="str">
        <x:v>Autenticación, sesión y roles</x:v>
      </x:c>
      <x:c r="D17" s="67"/>
      <x:c r="E17" s="71" t="n">
        <x:v>0.55</x:v>
      </x:c>
      <x:c r="F17" s="69" t="n">
        <x:v>46251</x:v>
      </x:c>
      <x:c r="G17" s="69" t="n">
        <x:v>46262</x:v>
      </x:c>
      <x:c r="H17" s="70" t="n">
        <x:f>G17-F17+1</x:f>
        <x:v>12</x:v>
      </x:c>
      <x:c r="I17" s="2"/>
      <x:c r="J17" s="2"/>
      <x:c r="K17" s="88"/>
      <x:c r="L17" s="88"/>
      <x:c r="M17" s="94"/>
      <x:c r="N17" s="94"/>
      <x:c r="O17" s="88"/>
      <x:c r="P17" s="88"/>
      <x:c r="Q17" s="88"/>
      <x:c r="R17" s="88"/>
      <x:c r="S17" s="88"/>
      <x:c r="T17" s="88"/>
      <x:c r="U17" s="88"/>
      <x:c r="V17" s="88"/>
      <x:c r="W17" s="88"/>
    </x:row>
    <x:row r="18" ht="22" customHeight="1">
      <x:c r="A18" s="82" t="n">
        <x:f>H18</x:f>
        <x:v>19</x:v>
      </x:c>
      <x:c r="B18" s="66" t="str">
        <x:v>3.2</x:v>
      </x:c>
      <x:c r="C18" s="67" t="str">
        <x:v>Permisos por sistema, módulo y programa</x:v>
      </x:c>
      <x:c r="D18" s="67"/>
      <x:c r="E18" s="71" t="n">
        <x:v>0.35</x:v>
      </x:c>
      <x:c r="F18" s="69" t="n">
        <x:v>46258</x:v>
      </x:c>
      <x:c r="G18" s="69" t="n">
        <x:v>46276</x:v>
      </x:c>
      <x:c r="H18" s="70" t="n">
        <x:f>G18-F18+1</x:f>
        <x:v>19</x:v>
      </x:c>
      <x:c r="I18" s="2"/>
      <x:c r="J18" s="2"/>
      <x:c r="K18" s="88"/>
      <x:c r="L18" s="88"/>
      <x:c r="M18" s="88"/>
      <x:c r="N18" s="94"/>
      <x:c r="O18" s="94"/>
      <x:c r="P18" s="94"/>
      <x:c r="Q18" s="88"/>
      <x:c r="R18" s="88"/>
      <x:c r="S18" s="88"/>
      <x:c r="T18" s="88"/>
      <x:c r="U18" s="88"/>
      <x:c r="V18" s="88"/>
      <x:c r="W18" s="88"/>
    </x:row>
    <x:row r="19" ht="22" customHeight="1">
      <x:c r="A19" s="82" t="n">
        <x:f>H19</x:f>
        <x:v>12</x:v>
      </x:c>
      <x:c r="B19" s="66" t="str">
        <x:v>3.3</x:v>
      </x:c>
      <x:c r="C19" s="67" t="str">
        <x:v>Menú autorizado y validación de accesos</x:v>
      </x:c>
      <x:c r="D19" s="67"/>
      <x:c r="E19" s="71" t="n">
        <x:v>0.15</x:v>
      </x:c>
      <x:c r="F19" s="69" t="n">
        <x:v>46272</x:v>
      </x:c>
      <x:c r="G19" s="69" t="n">
        <x:v>46283</x:v>
      </x:c>
      <x:c r="H19" s="70" t="n">
        <x:f>G19-F19+1</x:f>
        <x:v>12</x:v>
      </x:c>
      <x:c r="I19" s="2"/>
      <x:c r="J19" s="2"/>
      <x:c r="K19" s="88"/>
      <x:c r="L19" s="88"/>
      <x:c r="M19" s="88"/>
      <x:c r="N19" s="88"/>
      <x:c r="O19" s="88"/>
      <x:c r="P19" s="94"/>
      <x:c r="Q19" s="94"/>
      <x:c r="R19" s="88"/>
      <x:c r="S19" s="88"/>
      <x:c r="T19" s="88"/>
      <x:c r="U19" s="88"/>
      <x:c r="V19" s="88"/>
      <x:c r="W19" s="88"/>
    </x:row>
    <x:row r="20" ht="22" customHeight="1">
      <x:c r="A20" s="82" t="n">
        <x:v>0</x:v>
      </x:c>
      <x:c r="B20" s="56" t="str">
        <x:v>4</x:v>
      </x:c>
      <x:c r="C20" s="57" t="str">
        <x:v>Maestros y catálogos GX8</x:v>
      </x:c>
      <x:c r="D20" s="57"/>
      <x:c r="E20" s="58" t="n">
        <x:f>IFERROR(SUMPRODUCT(E21:E24,A21:A24)/SUM(A21:A24),0)</x:f>
        <x:v>0.07266666666666667</x:v>
      </x:c>
      <x:c r="F20" s="59" t="n">
        <x:f>MIN(F21:F24)</x:f>
        <x:v>46266</x:v>
      </x:c>
      <x:c r="G20" s="59" t="n">
        <x:f>MAX(G21:G24)</x:f>
        <x:v>46318</x:v>
      </x:c>
      <x:c r="H20" s="60" t="n">
        <x:f>G20-F20+1</x:f>
        <x:v>53</x:v>
      </x:c>
      <x:c r="I20" s="2"/>
      <x:c r="J20" s="2"/>
      <x:c r="K20" s="88"/>
      <x:c r="L20" s="88"/>
      <x:c r="M20" s="88"/>
      <x:c r="N20" s="88"/>
      <x:c r="O20" s="92"/>
      <x:c r="P20" s="92"/>
      <x:c r="Q20" s="92"/>
      <x:c r="R20" s="92"/>
      <x:c r="S20" s="92"/>
      <x:c r="T20" s="92"/>
      <x:c r="U20" s="92"/>
      <x:c r="V20" s="92"/>
      <x:c r="W20" s="88"/>
    </x:row>
    <x:row r="21" ht="22" customHeight="1">
      <x:c r="A21" s="82" t="n">
        <x:f>H21</x:f>
        <x:v>18</x:v>
      </x:c>
      <x:c r="B21" s="66" t="str">
        <x:v>4.1</x:v>
      </x:c>
      <x:c r="C21" s="67" t="str">
        <x:v>Catálogos base de temporada, especies, envases y productores</x:v>
      </x:c>
      <x:c r="D21" s="67"/>
      <x:c r="E21" s="71" t="n">
        <x:v>0.25</x:v>
      </x:c>
      <x:c r="F21" s="69" t="n">
        <x:v>46266</x:v>
      </x:c>
      <x:c r="G21" s="69" t="n">
        <x:v>46283</x:v>
      </x:c>
      <x:c r="H21" s="70" t="n">
        <x:f>G21-F21+1</x:f>
        <x:v>18</x:v>
      </x:c>
      <x:c r="I21" s="2"/>
      <x:c r="J21" s="2"/>
      <x:c r="K21" s="88"/>
      <x:c r="L21" s="88"/>
      <x:c r="M21" s="88"/>
      <x:c r="N21" s="88"/>
      <x:c r="O21" s="94"/>
      <x:c r="P21" s="94"/>
      <x:c r="Q21" s="94"/>
      <x:c r="R21" s="88"/>
      <x:c r="S21" s="88"/>
      <x:c r="T21" s="88"/>
      <x:c r="U21" s="88"/>
      <x:c r="V21" s="88"/>
      <x:c r="W21" s="88"/>
    </x:row>
    <x:row r="22" ht="22" customHeight="1">
      <x:c r="A22" s="82" t="n">
        <x:f>H22</x:f>
        <x:v>19</x:v>
      </x:c>
      <x:c r="B22" s="66" t="str">
        <x:v>4.2</x:v>
      </x:c>
      <x:c r="C22" s="67" t="str">
        <x:v>Clientes, agentes, consignatarios y exportadoras</x:v>
      </x:c>
      <x:c r="D22" s="67"/>
      <x:c r="E22" s="71" t="n">
        <x:v>0.05</x:v>
      </x:c>
      <x:c r="F22" s="69" t="n">
        <x:v>46279</x:v>
      </x:c>
      <x:c r="G22" s="69" t="n">
        <x:v>46297</x:v>
      </x:c>
      <x:c r="H22" s="70" t="n">
        <x:f>G22-F22+1</x:f>
        <x:v>19</x:v>
      </x:c>
      <x:c r="I22" s="2"/>
      <x:c r="J22" s="2"/>
      <x:c r="K22" s="88"/>
      <x:c r="L22" s="88"/>
      <x:c r="M22" s="88"/>
      <x:c r="N22" s="88"/>
      <x:c r="O22" s="88"/>
      <x:c r="P22" s="88"/>
      <x:c r="Q22" s="94"/>
      <x:c r="R22" s="94"/>
      <x:c r="S22" s="94"/>
      <x:c r="T22" s="88"/>
      <x:c r="U22" s="88"/>
      <x:c r="V22" s="88"/>
      <x:c r="W22" s="88"/>
    </x:row>
    <x:row r="23" ht="22" customHeight="1">
      <x:c r="A23" s="82" t="n">
        <x:f>H23</x:f>
        <x:v>19</x:v>
      </x:c>
      <x:c r="B23" s="66" t="str">
        <x:v>4.3</x:v>
      </x:c>
      <x:c r="C23" s="67" t="str">
        <x:v>Parámetros, monedas, puertos y tipos de movimiento</x:v>
      </x:c>
      <x:c r="D23" s="67"/>
      <x:c r="E23" s="71" t="n">
        <x:v>0</x:v>
      </x:c>
      <x:c r="F23" s="69" t="n">
        <x:v>46293</x:v>
      </x:c>
      <x:c r="G23" s="69" t="n">
        <x:v>46311</x:v>
      </x:c>
      <x:c r="H23" s="70" t="n">
        <x:f>G23-F23+1</x:f>
        <x:v>19</x:v>
      </x:c>
      <x:c r="I23" s="2"/>
      <x:c r="J23" s="2"/>
      <x:c r="K23" s="88"/>
      <x:c r="L23" s="88"/>
      <x:c r="M23" s="88"/>
      <x:c r="N23" s="88"/>
      <x:c r="O23" s="88"/>
      <x:c r="P23" s="88"/>
      <x:c r="Q23" s="88"/>
      <x:c r="R23" s="88"/>
      <x:c r="S23" s="94"/>
      <x:c r="T23" s="94"/>
      <x:c r="U23" s="94"/>
      <x:c r="V23" s="88"/>
      <x:c r="W23" s="88"/>
    </x:row>
    <x:row r="24" ht="22" customHeight="1">
      <x:c r="A24" s="82" t="n">
        <x:f>H24</x:f>
        <x:v>19</x:v>
      </x:c>
      <x:c r="B24" s="66" t="str">
        <x:v>4.4</x:v>
      </x:c>
      <x:c r="C24" s="67" t="str">
        <x:v>Reglas GX8, niveles padre-detalle y exportaciones</x:v>
      </x:c>
      <x:c r="D24" s="67"/>
      <x:c r="E24" s="71" t="n">
        <x:v>0</x:v>
      </x:c>
      <x:c r="F24" s="69" t="n">
        <x:v>46300</x:v>
      </x:c>
      <x:c r="G24" s="69" t="n">
        <x:v>46318</x:v>
      </x:c>
      <x:c r="H24" s="70" t="n">
        <x:f>G24-F24+1</x:f>
        <x:v>19</x:v>
      </x:c>
      <x:c r="I24" s="2"/>
      <x:c r="J24" s="2"/>
      <x:c r="K24" s="88"/>
      <x:c r="L24" s="88"/>
      <x:c r="M24" s="88"/>
      <x:c r="N24" s="88"/>
      <x:c r="O24" s="88"/>
      <x:c r="P24" s="88"/>
      <x:c r="Q24" s="88"/>
      <x:c r="R24" s="88"/>
      <x:c r="S24" s="88"/>
      <x:c r="T24" s="94"/>
      <x:c r="U24" s="94"/>
      <x:c r="V24" s="94"/>
      <x:c r="W24" s="88"/>
    </x:row>
    <x:row r="25" ht="22" customHeight="1">
      <x:c r="A25" s="82" t="n">
        <x:v>0</x:v>
      </x:c>
      <x:c r="B25" s="56" t="str">
        <x:v>5</x:v>
      </x:c>
      <x:c r="C25" s="57" t="str">
        <x:v>Procesos operacionales</x:v>
      </x:c>
      <x:c r="D25" s="57"/>
      <x:c r="E25" s="58" t="n">
        <x:f>IFERROR(SUMPRODUCT(E26:E28,A26:A28)/SUM(A26:A28),0)</x:f>
        <x:v>0</x:v>
      </x:c>
      <x:c r="F25" s="59" t="n">
        <x:f>MIN(F26:F28)</x:f>
        <x:v>46286</x:v>
      </x:c>
      <x:c r="G25" s="59" t="n">
        <x:f>MAX(G26:G28)</x:f>
        <x:v>46325</x:v>
      </x:c>
      <x:c r="H25" s="60" t="n">
        <x:f>G25-F25+1</x:f>
        <x:v>40</x:v>
      </x:c>
      <x:c r="I25" s="2"/>
      <x:c r="J25" s="2"/>
      <x:c r="K25" s="88"/>
      <x:c r="L25" s="88"/>
      <x:c r="M25" s="88"/>
      <x:c r="N25" s="88"/>
      <x:c r="O25" s="88"/>
      <x:c r="P25" s="88"/>
      <x:c r="Q25" s="88"/>
      <x:c r="R25" s="92"/>
      <x:c r="S25" s="92"/>
      <x:c r="T25" s="92"/>
      <x:c r="U25" s="92"/>
      <x:c r="V25" s="92"/>
      <x:c r="W25" s="92"/>
    </x:row>
    <x:row r="26" ht="22" customHeight="1">
      <x:c r="A26" s="82" t="n">
        <x:f>H26</x:f>
        <x:v>19</x:v>
      </x:c>
      <x:c r="B26" s="66" t="str">
        <x:v>5.1</x:v>
      </x:c>
      <x:c r="C26" s="67" t="str">
        <x:v>Configuración de líneas y órdenes de proceso</x:v>
      </x:c>
      <x:c r="D26" s="67"/>
      <x:c r="E26" s="71" t="n">
        <x:v>0</x:v>
      </x:c>
      <x:c r="F26" s="69" t="n">
        <x:v>46286</x:v>
      </x:c>
      <x:c r="G26" s="69" t="n">
        <x:v>46304</x:v>
      </x:c>
      <x:c r="H26" s="70" t="n">
        <x:f>G26-F26+1</x:f>
        <x:v>19</x:v>
      </x:c>
      <x:c r="I26" s="2"/>
      <x:c r="J26" s="2"/>
      <x:c r="K26" s="88"/>
      <x:c r="L26" s="88"/>
      <x:c r="M26" s="88"/>
      <x:c r="N26" s="88"/>
      <x:c r="O26" s="88"/>
      <x:c r="P26" s="88"/>
      <x:c r="Q26" s="88"/>
      <x:c r="R26" s="94"/>
      <x:c r="S26" s="94"/>
      <x:c r="T26" s="94"/>
      <x:c r="U26" s="88"/>
      <x:c r="V26" s="88"/>
      <x:c r="W26" s="88"/>
    </x:row>
    <x:row r="27" ht="22" customHeight="1">
      <x:c r="A27" s="82" t="n">
        <x:f>H27</x:f>
        <x:v>19</x:v>
      </x:c>
      <x:c r="B27" s="66" t="str">
        <x:v>5.2</x:v>
      </x:c>
      <x:c r="C27" s="67" t="str">
        <x:v>Ingreso de folios, captura y lectura de cajas</x:v>
      </x:c>
      <x:c r="D27" s="67"/>
      <x:c r="E27" s="71" t="n">
        <x:v>0</x:v>
      </x:c>
      <x:c r="F27" s="69" t="n">
        <x:v>46300</x:v>
      </x:c>
      <x:c r="G27" s="69" t="n">
        <x:v>46318</x:v>
      </x:c>
      <x:c r="H27" s="70" t="n">
        <x:f>G27-F27+1</x:f>
        <x:v>19</x:v>
      </x:c>
      <x:c r="I27" s="2"/>
      <x:c r="J27" s="2"/>
      <x:c r="K27" s="88"/>
      <x:c r="L27" s="88"/>
      <x:c r="M27" s="88"/>
      <x:c r="N27" s="88"/>
      <x:c r="O27" s="88"/>
      <x:c r="P27" s="88"/>
      <x:c r="Q27" s="88"/>
      <x:c r="R27" s="88"/>
      <x:c r="S27" s="88"/>
      <x:c r="T27" s="94"/>
      <x:c r="U27" s="94"/>
      <x:c r="V27" s="94"/>
      <x:c r="W27" s="88"/>
    </x:row>
    <x:row r="28" ht="22" customHeight="1">
      <x:c r="A28" s="82" t="n">
        <x:f>H28</x:f>
        <x:v>19</x:v>
      </x:c>
      <x:c r="B28" s="66" t="str">
        <x:v>5.3</x:v>
      </x:c>
      <x:c r="C28" s="67" t="str">
        <x:v>Paletizado, repaletizaje y control de stock</x:v>
      </x:c>
      <x:c r="D28" s="67"/>
      <x:c r="E28" s="71" t="n">
        <x:v>0</x:v>
      </x:c>
      <x:c r="F28" s="69" t="n">
        <x:v>46307</x:v>
      </x:c>
      <x:c r="G28" s="69" t="n">
        <x:v>46325</x:v>
      </x:c>
      <x:c r="H28" s="70" t="n">
        <x:f>G28-F28+1</x:f>
        <x:v>19</x:v>
      </x:c>
      <x:c r="I28" s="2"/>
      <x:c r="J28" s="2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94"/>
      <x:c r="V28" s="94"/>
      <x:c r="W28" s="94"/>
    </x:row>
    <x:row r="29" ht="22" customHeight="1">
      <x:c r="A29" s="82" t="n">
        <x:v>0</x:v>
      </x:c>
      <x:c r="B29" s="56" t="str">
        <x:v>6</x:v>
      </x:c>
      <x:c r="C29" s="57" t="str">
        <x:v>Despachos, guías y documentos</x:v>
      </x:c>
      <x:c r="D29" s="57"/>
      <x:c r="E29" s="58" t="n">
        <x:f>IFERROR(SUMPRODUCT(E30:E32,A30:A32)/SUM(A30:A32),0)</x:f>
        <x:v>0</x:v>
      </x:c>
      <x:c r="F29" s="59" t="n">
        <x:f>MIN(F30:F32)</x:f>
        <x:v>46300</x:v>
      </x:c>
      <x:c r="G29" s="59" t="n">
        <x:f>MAX(G30:G32)</x:f>
        <x:v>46325</x:v>
      </x:c>
      <x:c r="H29" s="60" t="n">
        <x:f>G29-F29+1</x:f>
        <x:v>26</x:v>
      </x:c>
      <x:c r="I29" s="2"/>
      <x:c r="J29" s="2"/>
      <x:c r="K29" s="88"/>
      <x:c r="L29" s="88"/>
      <x:c r="M29" s="88"/>
      <x:c r="N29" s="88"/>
      <x:c r="O29" s="88"/>
      <x:c r="P29" s="88"/>
      <x:c r="Q29" s="88"/>
      <x:c r="R29" s="88"/>
      <x:c r="S29" s="88"/>
      <x:c r="T29" s="92"/>
      <x:c r="U29" s="92"/>
      <x:c r="V29" s="92"/>
      <x:c r="W29" s="92"/>
    </x:row>
    <x:row r="30" ht="22" customHeight="1">
      <x:c r="A30" s="82" t="n">
        <x:f>H30</x:f>
        <x:v>19</x:v>
      </x:c>
      <x:c r="B30" s="66" t="str">
        <x:v>6.1</x:v>
      </x:c>
      <x:c r="C30" s="67" t="str">
        <x:v>Guías de despacho y documentos operacionales</x:v>
      </x:c>
      <x:c r="D30" s="67"/>
      <x:c r="E30" s="71" t="n">
        <x:v>0</x:v>
      </x:c>
      <x:c r="F30" s="69" t="n">
        <x:v>46300</x:v>
      </x:c>
      <x:c r="G30" s="69" t="n">
        <x:v>46318</x:v>
      </x:c>
      <x:c r="H30" s="70" t="n">
        <x:f>G30-F30+1</x:f>
        <x:v>19</x:v>
      </x:c>
      <x:c r="I30" s="2"/>
      <x:c r="J30" s="2"/>
      <x:c r="K30" s="88"/>
      <x:c r="L30" s="88"/>
      <x:c r="M30" s="88"/>
      <x:c r="N30" s="88"/>
      <x:c r="O30" s="88"/>
      <x:c r="P30" s="88"/>
      <x:c r="Q30" s="88"/>
      <x:c r="R30" s="88"/>
      <x:c r="S30" s="88"/>
      <x:c r="T30" s="94"/>
      <x:c r="U30" s="94"/>
      <x:c r="V30" s="94"/>
      <x:c r="W30" s="88"/>
    </x:row>
    <x:row r="31" ht="22" customHeight="1">
      <x:c r="A31" s="82" t="n">
        <x:f>H31</x:f>
        <x:v>19</x:v>
      </x:c>
      <x:c r="B31" s="66" t="str">
        <x:v>6.2</x:v>
      </x:c>
      <x:c r="C31" s="67" t="str">
        <x:v>Despachos, anulaciones y reversas</x:v>
      </x:c>
      <x:c r="D31" s="67"/>
      <x:c r="E31" s="71" t="n">
        <x:v>0</x:v>
      </x:c>
      <x:c r="F31" s="69" t="n">
        <x:v>46307</x:v>
      </x:c>
      <x:c r="G31" s="69" t="n">
        <x:v>46325</x:v>
      </x:c>
      <x:c r="H31" s="70" t="n">
        <x:f>G31-F31+1</x:f>
        <x:v>19</x:v>
      </x:c>
      <x:c r="I31" s="2"/>
      <x:c r="J31" s="2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94"/>
      <x:c r="V31" s="94"/>
      <x:c r="W31" s="94"/>
    </x:row>
    <x:row r="32" ht="22" customHeight="1">
      <x:c r="A32" s="82" t="n">
        <x:f>H32</x:f>
        <x:v>12</x:v>
      </x:c>
      <x:c r="B32" s="66" t="str">
        <x:v>6.3</x:v>
      </x:c>
      <x:c r="C32" s="67" t="str">
        <x:v>Packing list, multipuerto y exportadora</x:v>
      </x:c>
      <x:c r="D32" s="67"/>
      <x:c r="E32" s="71" t="n">
        <x:v>0</x:v>
      </x:c>
      <x:c r="F32" s="69" t="n">
        <x:v>46314</x:v>
      </x:c>
      <x:c r="G32" s="69" t="n">
        <x:v>46325</x:v>
      </x:c>
      <x:c r="H32" s="70" t="n">
        <x:f>G32-F32+1</x:f>
        <x:v>12</x:v>
      </x:c>
      <x:c r="I32" s="2"/>
      <x:c r="J32" s="2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94"/>
      <x:c r="W32" s="94"/>
    </x:row>
    <x:row r="33" ht="22" customHeight="1">
      <x:c r="A33" s="82" t="n">
        <x:v>0</x:v>
      </x:c>
      <x:c r="B33" s="56" t="str">
        <x:v>7</x:v>
      </x:c>
      <x:c r="C33" s="57" t="str">
        <x:v>Reportes, regulatorios y etiquetas</x:v>
      </x:c>
      <x:c r="D33" s="57"/>
      <x:c r="E33" s="58" t="n">
        <x:f>IFERROR(SUMPRODUCT(E34:E36,A34:A36)/SUM(A34:A36),0)</x:f>
        <x:v>0</x:v>
      </x:c>
      <x:c r="F33" s="59" t="n">
        <x:f>MIN(F34:F36)</x:f>
        <x:v>46300</x:v>
      </x:c>
      <x:c r="G33" s="59" t="n">
        <x:f>MAX(G34:G36)</x:f>
        <x:v>46325</x:v>
      </x:c>
      <x:c r="H33" s="60" t="n">
        <x:f>G33-F33+1</x:f>
        <x:v>26</x:v>
      </x:c>
      <x:c r="I33" s="2"/>
      <x:c r="J33" s="2"/>
      <x:c r="K33" s="88"/>
      <x:c r="L33" s="88"/>
      <x:c r="M33" s="88"/>
      <x:c r="N33" s="88"/>
      <x:c r="O33" s="88"/>
      <x:c r="P33" s="88"/>
      <x:c r="Q33" s="88"/>
      <x:c r="R33" s="88"/>
      <x:c r="S33" s="88"/>
      <x:c r="T33" s="92"/>
      <x:c r="U33" s="92"/>
      <x:c r="V33" s="92"/>
      <x:c r="W33" s="92"/>
    </x:row>
    <x:row r="34" ht="22" customHeight="1">
      <x:c r="A34" s="82" t="n">
        <x:f>H34</x:f>
        <x:v>19</x:v>
      </x:c>
      <x:c r="B34" s="66" t="str">
        <x:v>7.1</x:v>
      </x:c>
      <x:c r="C34" s="67" t="str">
        <x:v>Consultas y reportes comerciales</x:v>
      </x:c>
      <x:c r="D34" s="67"/>
      <x:c r="E34" s="71" t="n">
        <x:v>0</x:v>
      </x:c>
      <x:c r="F34" s="69" t="n">
        <x:v>46300</x:v>
      </x:c>
      <x:c r="G34" s="69" t="n">
        <x:v>46318</x:v>
      </x:c>
      <x:c r="H34" s="70" t="n">
        <x:f>G34-F34+1</x:f>
        <x:v>19</x:v>
      </x:c>
      <x:c r="I34" s="2"/>
      <x:c r="J34" s="2"/>
      <x:c r="K34" s="88"/>
      <x:c r="L34" s="88"/>
      <x:c r="M34" s="88"/>
      <x:c r="N34" s="88"/>
      <x:c r="O34" s="88"/>
      <x:c r="P34" s="88"/>
      <x:c r="Q34" s="88"/>
      <x:c r="R34" s="88"/>
      <x:c r="S34" s="88"/>
      <x:c r="T34" s="94"/>
      <x:c r="U34" s="94"/>
      <x:c r="V34" s="94"/>
      <x:c r="W34" s="88"/>
    </x:row>
    <x:row r="35" ht="22" customHeight="1">
      <x:c r="A35" s="82" t="n">
        <x:f>H35</x:f>
        <x:v>19</x:v>
      </x:c>
      <x:c r="B35" s="66" t="str">
        <x:v>7.2</x:v>
      </x:c>
      <x:c r="C35" s="67" t="str">
        <x:v>SAG, USDA e inspecciones</x:v>
      </x:c>
      <x:c r="D35" s="67"/>
      <x:c r="E35" s="71" t="n">
        <x:v>0</x:v>
      </x:c>
      <x:c r="F35" s="69" t="n">
        <x:v>46307</x:v>
      </x:c>
      <x:c r="G35" s="69" t="n">
        <x:v>46325</x:v>
      </x:c>
      <x:c r="H35" s="70" t="n">
        <x:f>G35-F35+1</x:f>
        <x:v>19</x:v>
      </x:c>
      <x:c r="I35" s="2"/>
      <x:c r="J35" s="2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94"/>
      <x:c r="V35" s="94"/>
      <x:c r="W35" s="94"/>
    </x:row>
    <x:row r="36" ht="22" customHeight="1">
      <x:c r="A36" s="82" t="n">
        <x:f>H36</x:f>
        <x:v>12</x:v>
      </x:c>
      <x:c r="B36" s="66" t="str">
        <x:v>7.3</x:v>
      </x:c>
      <x:c r="C36" s="67" t="str">
        <x:v>Etiquetas y formatos por destino</x:v>
      </x:c>
      <x:c r="D36" s="67"/>
      <x:c r="E36" s="71" t="n">
        <x:v>0</x:v>
      </x:c>
      <x:c r="F36" s="69" t="n">
        <x:v>46314</x:v>
      </x:c>
      <x:c r="G36" s="69" t="n">
        <x:v>46325</x:v>
      </x:c>
      <x:c r="H36" s="70" t="n">
        <x:f>G36-F36+1</x:f>
        <x:v>12</x:v>
      </x:c>
      <x:c r="I36" s="2"/>
      <x:c r="J36" s="2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94"/>
      <x:c r="W36" s="94"/>
    </x:row>
    <x:row r="37" ht="22" customHeight="1">
      <x:c r="A37" s="82" t="n">
        <x:v>0</x:v>
      </x:c>
      <x:c r="B37" s="41" t="str">
        <x:v>8</x:v>
      </x:c>
      <x:c r="C37" s="42" t="str">
        <x:v>QA, UAT y cierre comercial</x:v>
      </x:c>
      <x:c r="D37" s="42"/>
      <x:c r="E37" s="43" t="n">
        <x:f>IFERROR(SUMPRODUCT(E38:E40,A38:A40)/SUM(A38:A40),0)</x:f>
        <x:v>0</x:v>
      </x:c>
      <x:c r="F37" s="44" t="n">
        <x:f>MIN(F38:F40)</x:f>
        <x:v>46307</x:v>
      </x:c>
      <x:c r="G37" s="44" t="n">
        <x:f>MAX(G38:G40)</x:f>
        <x:v>46325</x:v>
      </x:c>
      <x:c r="H37" s="45" t="n">
        <x:f>G37-F37+1</x:f>
        <x:v>19</x:v>
      </x:c>
      <x:c r="I37" s="2"/>
      <x:c r="J37" s="2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90"/>
      <x:c r="V37" s="90"/>
      <x:c r="W37" s="90"/>
    </x:row>
    <x:row r="38" ht="22" customHeight="1">
      <x:c r="A38" s="82" t="n">
        <x:f>H38</x:f>
        <x:v>19</x:v>
      </x:c>
      <x:c r="B38" s="77" t="str">
        <x:v>8.1</x:v>
      </x:c>
      <x:c r="C38" s="78" t="str">
        <x:v>Pruebas funcionales por módulo</x:v>
      </x:c>
      <x:c r="D38" s="78"/>
      <x:c r="E38" s="71" t="n">
        <x:v>0</x:v>
      </x:c>
      <x:c r="F38" s="80" t="n">
        <x:v>46307</x:v>
      </x:c>
      <x:c r="G38" s="80" t="n">
        <x:v>46325</x:v>
      </x:c>
      <x:c r="H38" s="81" t="n">
        <x:f>G38-F38+1</x:f>
        <x:v>19</x:v>
      </x:c>
      <x:c r="I38" s="2"/>
      <x:c r="J38" s="2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96"/>
      <x:c r="V38" s="96"/>
      <x:c r="W38" s="96"/>
    </x:row>
    <x:row r="39" ht="22" customHeight="1">
      <x:c r="A39" s="82" t="n">
        <x:f>H39</x:f>
        <x:v>12</x:v>
      </x:c>
      <x:c r="B39" s="77" t="str">
        <x:v>8.2</x:v>
      </x:c>
      <x:c r="C39" s="78" t="str">
        <x:v>UAT con usuarios clave</x:v>
      </x:c>
      <x:c r="D39" s="78"/>
      <x:c r="E39" s="71" t="n">
        <x:v>0</x:v>
      </x:c>
      <x:c r="F39" s="80" t="n">
        <x:v>46314</x:v>
      </x:c>
      <x:c r="G39" s="80" t="n">
        <x:v>46325</x:v>
      </x:c>
      <x:c r="H39" s="81" t="n">
        <x:f>G39-F39+1</x:f>
        <x:v>12</x:v>
      </x:c>
      <x:c r="I39" s="2"/>
      <x:c r="J39" s="2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96"/>
      <x:c r="W39" s="96"/>
    </x:row>
    <x:row r="40" ht="22" customHeight="1">
      <x:c r="A40" s="82" t="n">
        <x:f>H40</x:f>
        <x:v>5</x:v>
      </x:c>
      <x:c r="B40" s="77" t="str">
        <x:v>8.3</x:v>
      </x:c>
      <x:c r="C40" s="78" t="str">
        <x:v>Capacitación, ajustes y plan de salida</x:v>
      </x:c>
      <x:c r="D40" s="78"/>
      <x:c r="E40" s="71" t="n">
        <x:v>0</x:v>
      </x:c>
      <x:c r="F40" s="80" t="n">
        <x:v>46321</x:v>
      </x:c>
      <x:c r="G40" s="80" t="n">
        <x:v>46325</x:v>
      </x:c>
      <x:c r="H40" s="81" t="n">
        <x:f>G40-F40+1</x:f>
        <x:v>5</x:v>
      </x:c>
      <x:c r="I40" s="2"/>
      <x:c r="J40" s="2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96"/>
    </x:row>
    <x:row r="41" ht="22" customHeight="1">
      <x:c r="A41" s="2"/>
      <x:c r="B41" s="2"/>
      <x:c r="C41" s="86" t="str">
        <x:v>Total días</x:v>
      </x:c>
      <x:c r="D41" s="86"/>
      <x:c r="E41" s="86"/>
      <x:c r="F41" s="86"/>
      <x:c r="G41" s="86"/>
      <x:c r="H41" s="87" t="n">
        <x:f>H7</x:f>
        <x:v>91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</x:sheetData>
  <x:mergeCells>
    <x:mergeCell ref="C1:H1"/>
    <x:mergeCell ref="C2:H2"/>
    <x:mergeCell ref="C6:D6"/>
    <x:mergeCell ref="K2:O2"/>
    <x:mergeCell ref="P2:S2"/>
    <x:mergeCell ref="T2:W2"/>
    <x:mergeCell ref="C7:D7"/>
    <x:mergeCell ref="C8:D8"/>
    <x:mergeCell ref="C9:D9"/>
    <x:mergeCell ref="C10:D10"/>
    <x:mergeCell ref="C11:D11"/>
    <x:mergeCell ref="C12:D12"/>
    <x:mergeCell ref="C13:D13"/>
    <x:mergeCell ref="C14:D14"/>
    <x:mergeCell ref="C15:D15"/>
    <x:mergeCell ref="C16:D16"/>
    <x:mergeCell ref="C17:D17"/>
    <x:mergeCell ref="C18:D18"/>
    <x:mergeCell ref="C19:D19"/>
    <x:mergeCell ref="C20:D20"/>
    <x:mergeCell ref="C21:D21"/>
    <x:mergeCell ref="C22:D22"/>
    <x:mergeCell ref="C23:D23"/>
    <x:mergeCell ref="C24:D24"/>
    <x:mergeCell ref="C25:D25"/>
    <x:mergeCell ref="C26:D26"/>
    <x:mergeCell ref="C27:D27"/>
    <x:mergeCell ref="C28:D28"/>
    <x:mergeCell ref="C29:D29"/>
    <x:mergeCell ref="C30:D30"/>
    <x:mergeCell ref="C31:D31"/>
    <x:mergeCell ref="C32:D32"/>
    <x:mergeCell ref="C33:D33"/>
    <x:mergeCell ref="C34:D34"/>
    <x:mergeCell ref="C35:D35"/>
    <x:mergeCell ref="C36:D36"/>
    <x:mergeCell ref="C37:D37"/>
    <x:mergeCell ref="C38:D38"/>
    <x:mergeCell ref="C39:D39"/>
    <x:mergeCell ref="C40:D40"/>
    <x:mergeCell ref="C41:G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4" hidden="0" customWidth="1"/>
    <x:col min="4" max="4" width="48" hidden="0" customWidth="1"/>
    <x:col min="5" max="5" width="14" hidden="0" customWidth="1"/>
    <x:col min="6" max="6" width="8" hidden="0" customWidth="1"/>
  </x:cols>
  <x:sheetData>
    <x:row r="1">
      <x:c r="A1" s="98" t="str">
        <x:v>Visión Macro de Migración CONEX</x:v>
      </x:c>
      <x:c r="B1" s="98"/>
      <x:c r="C1" s="98"/>
      <x:c r="D1" s="98"/>
      <x:c r="E1" s="98"/>
      <x:c r="F1" s="98"/>
    </x:row>
    <x:row r="2">
      <x:c r="A2" s="99" t="str">
        <x:v>Resumen comercial construido desde el inventario GX8 y la documentación de migración.</x:v>
      </x:c>
      <x:c r="B2" s="99"/>
      <x:c r="C2" s="99"/>
      <x:c r="D2" s="99"/>
      <x:c r="E2" s="99"/>
      <x:c r="F2" s="99"/>
    </x:row>
    <x:row r="4">
      <x:c r="A4" s="13" t="str">
        <x:v>Frente comercial</x:v>
      </x:c>
      <x:c r="B4" s="13" t="str">
        <x:v>Objetos asociados</x:v>
      </x:c>
      <x:c r="C4" s="13" t="str">
        <x:v>% referencial</x:v>
      </x:c>
      <x:c r="D4" s="13" t="str">
        <x:v>Comentario</x:v>
      </x:c>
    </x:row>
    <x:row r="5">
      <x:c r="A5" s="102" t="str">
        <x:v>Seguridad y permisos</x:v>
      </x:c>
      <x:c r="B5" s="103" t="n">
        <x:v>30</x:v>
      </x:c>
      <x:c r="C5" s="104" t="n">
        <x:f>B5/$B$12</x:f>
        <x:v>0.03875968992248062</x:v>
      </x:c>
      <x:c r="D5" s="102" t="str">
        <x:v>Modelo de sesión, roles y autorización VA2.</x:v>
      </x:c>
    </x:row>
    <x:row r="6">
      <x:c r="A6" s="102" t="str">
        <x:v>Maestros y catálogos</x:v>
      </x:c>
      <x:c r="B6" s="103" t="n">
        <x:v>61</x:v>
      </x:c>
      <x:c r="C6" s="104" t="n">
        <x:f>B6/$B$12</x:f>
        <x:v>0.07881136950904392</x:v>
      </x:c>
      <x:c r="D6" s="102" t="str">
        <x:v>Base funcional para operar temporada, especies, productores, clientes y catálogos.</x:v>
      </x:c>
    </x:row>
    <x:row r="7">
      <x:c r="A7" s="102" t="str">
        <x:v>Operación de empaque y bodega</x:v>
      </x:c>
      <x:c r="B7" s="103" t="n">
        <x:v>160</x:v>
      </x:c>
      <x:c r="C7" s="104" t="n">
        <x:f>B7/$B$12</x:f>
        <x:v>0.20671834625322996</x:v>
      </x:c>
      <x:c r="D7" s="102" t="str">
        <x:v>Órdenes, folios, líneas, captura, paletizado, repaletizaje y stock.</x:v>
      </x:c>
    </x:row>
    <x:row r="8">
      <x:c r="A8" s="102" t="str">
        <x:v>Despachos, guías y facturación</x:v>
      </x:c>
      <x:c r="B8" s="103" t="n">
        <x:v>103</x:v>
      </x:c>
      <x:c r="C8" s="104" t="n">
        <x:f>B8/$B$12</x:f>
        <x:v>0.1330749354005168</x:v>
      </x:c>
      <x:c r="D8" s="102" t="str">
        <x:v>Documentos operacionales, facturación, DTE y packing list.</x:v>
      </x:c>
    </x:row>
    <x:row r="9">
      <x:c r="A9" s="102" t="str">
        <x:v>Regulatorio, inspecciones y etiquetas</x:v>
      </x:c>
      <x:c r="B9" s="103" t="n">
        <x:v>66</x:v>
      </x:c>
      <x:c r="C9" s="104" t="n">
        <x:f>B9/$B$12</x:f>
        <x:v>0.08527131782945736</x:v>
      </x:c>
      <x:c r="D9" s="102" t="str">
        <x:v>SAG, USDA, inspecciones, folios y etiquetas por destino.</x:v>
      </x:c>
    </x:row>
    <x:row r="10">
      <x:c r="A10" s="102" t="str">
        <x:v>Consultas, reportes e integraciones</x:v>
      </x:c>
      <x:c r="B10" s="103" t="n">
        <x:v>126</x:v>
      </x:c>
      <x:c r="C10" s="104" t="n">
        <x:f>B10/$B$12</x:f>
        <x:v>0.16279069767441862</x:v>
      </x:c>
      <x:c r="D10" s="102" t="str">
        <x:v>Consultas gerenciales, reportes, exportaciones y servicios transversales.</x:v>
      </x:c>
    </x:row>
    <x:row r="11">
      <x:c r="A11" s="102" t="str">
        <x:v>Base técnica y datos</x:v>
      </x:c>
      <x:c r="B11" s="103" t="n">
        <x:v>228</x:v>
      </x:c>
      <x:c r="C11" s="104" t="n">
        <x:f>B11/$B$12</x:f>
        <x:v>0.29457364341085274</x:v>
      </x:c>
      <x:c r="D11" s="102" t="str">
        <x:v>Tablas, atributos, dependencias, esquema, conversión de datos y QA técnico.</x:v>
      </x:c>
    </x:row>
    <x:row r="12">
      <x:c r="A12" s="111" t="str">
        <x:v>Total inventario base</x:v>
      </x:c>
      <x:c r="B12" s="112" t="n">
        <x:v>774</x:v>
      </x:c>
      <x:c r="C12" s="113" t="n">
        <x:v>1</x:v>
      </x:c>
      <x:c r="D12" s="111" t="str">
        <x:v>774 objetos GX identificados como universo de referencia.</x:v>
      </x:c>
    </x:row>
    <x:row r="15">
      <x:c r="A15" s="116" t="str">
        <x:v>Clasificación GX</x:v>
      </x:c>
      <x:c r="B15" s="116" t="str">
        <x:v>Cantidad</x:v>
      </x:c>
      <x:c r="D15" s="116" t="str">
        <x:v>Carpetas principales</x:v>
      </x:c>
      <x:c r="E15" s="116" t="str">
        <x:v>Cantidad</x:v>
      </x:c>
    </x:row>
    <x:row r="16">
      <x:c r="A16" s="101" t="str">
        <x:v>Procedure</x:v>
      </x:c>
      <x:c r="B16" s="117" t="n">
        <x:v>225</x:v>
      </x:c>
      <x:c r="D16" s="101" t="str">
        <x:v>(sin carpeta)</x:v>
      </x:c>
      <x:c r="E16" s="117" t="n">
        <x:v>204</x:v>
      </x:c>
    </x:row>
    <x:row r="17">
      <x:c r="A17" s="101" t="str">
        <x:v>WorkPanel</x:v>
      </x:c>
      <x:c r="B17" s="117" t="n">
        <x:v>174</x:v>
      </x:c>
      <x:c r="D17" s="101" t="str">
        <x:v>Maestros</x:v>
      </x:c>
      <x:c r="E17" s="117" t="n">
        <x:v>61</x:v>
      </x:c>
    </x:row>
    <x:row r="18">
      <x:c r="A18" s="101" t="str">
        <x:v>Table</x:v>
      </x:c>
      <x:c r="B18" s="117" t="n">
        <x:v>114</x:v>
      </x:c>
      <x:c r="D18" s="101" t="str">
        <x:v>Factura</x:v>
      </x:c>
      <x:c r="E18" s="117" t="n">
        <x:v>35</x:v>
      </x:c>
    </x:row>
    <x:row r="19">
      <x:c r="A19" s="101" t="str">
        <x:v>Transaction</x:v>
      </x:c>
      <x:c r="B19" s="117" t="n">
        <x:v>105</x:v>
      </x:c>
      <x:c r="D19" s="101" t="str">
        <x:v>Guias_Despacho</x:v>
      </x:c>
      <x:c r="E19" s="117" t="n">
        <x:v>31</x:v>
      </x:c>
    </x:row>
    <x:row r="20">
      <x:c r="A20" s="101" t="str">
        <x:v>Group</x:v>
      </x:c>
      <x:c r="B20" s="117" t="n">
        <x:v>61</x:v>
      </x:c>
      <x:c r="D20" s="101" t="str">
        <x:v>Orden_Proceso</x:v>
      </x:c>
      <x:c r="E20" s="117" t="n">
        <x:v>30</x:v>
      </x:c>
    </x:row>
    <x:row r="21">
      <x:c r="A21" s="101" t="str">
        <x:v>Report</x:v>
      </x:c>
      <x:c r="B21" s="117" t="n">
        <x:v>55</x:v>
      </x:c>
      <x:c r="D21" s="101" t="str">
        <x:v>Seguridad</x:v>
      </x:c>
      <x:c r="E21" s="117" t="n">
        <x:v>30</x:v>
      </x:c>
    </x:row>
    <x:row r="22">
      <x:c r="A22" s="101" t="str">
        <x:v>Folder</x:v>
      </x:c>
      <x:c r="B22" s="117" t="n">
        <x:v>38</x:v>
      </x:c>
      <x:c r="D22" s="101" t="str">
        <x:v>Ingreso_de_Folios</x:v>
      </x:c>
      <x:c r="E22" s="117" t="n">
        <x:v>27</x:v>
      </x:c>
    </x:row>
    <x:row r="23">
      <x:c r="A23" s="101" t="str">
        <x:v>Menubar</x:v>
      </x:c>
      <x:c r="B23" s="117" t="n">
        <x:v>1</x:v>
      </x:c>
      <x:c r="D23" s="101" t="str">
        <x:v>Inspecciones</x:v>
      </x:c>
      <x:c r="E23" s="117" t="n">
        <x:v>27</x:v>
      </x:c>
    </x:row>
    <x:row r="24">
      <x:c r="A24" s="101" t="str">
        <x:v>Theme</x:v>
      </x:c>
      <x:c r="B24" s="117" t="n">
        <x:v>1</x:v>
      </x:c>
      <x:c r="D24" s="101" t="str">
        <x:v>Despachos</x:v>
      </x:c>
      <x:c r="E24" s="117" t="n">
        <x:v>23</x:v>
      </x:c>
    </x:row>
    <x:row r="25">
      <x:c r="D25" s="101" t="str">
        <x:v>Repaletizaje</x:v>
      </x:c>
      <x:c r="E25" s="117" t="n">
        <x:v>23</x:v>
      </x:c>
    </x:row>
    <x:row r="26">
      <x:c r="D26" s="101" t="str">
        <x:v>USDA</x:v>
      </x:c>
      <x:c r="E26" s="117" t="n">
        <x:v>20</x:v>
      </x:c>
    </x:row>
    <x:row r="27">
      <x:c r="D27" s="101" t="str">
        <x:v>Paletizado</x:v>
      </x:c>
      <x:c r="E27" s="117" t="n">
        <x:v>17</x:v>
      </x:c>
    </x:row>
    <x:row r="28">
      <x:c r="D28" s="101" t="str">
        <x:v>Packing_List</x:v>
      </x:c>
      <x:c r="E28" s="117" t="n">
        <x:v>16</x:v>
      </x:c>
    </x:row>
    <x:row r="29">
      <x:c r="D29" s="101" t="str">
        <x:v>SAG</x:v>
      </x:c>
      <x:c r="E29" s="117" t="n">
        <x:v>16</x:v>
      </x:c>
    </x:row>
    <x:row r="30">
      <x:c r="D30" s="101" t="str">
        <x:v>ConfiguracionLineas</x:v>
      </x:c>
      <x:c r="E30" s="117" t="n">
        <x:v>15</x:v>
      </x:c>
    </x:row>
    <x:row r="31">
      <x:c r="D31" s="101" t="str">
        <x:v>Consultas</x:v>
      </x:c>
      <x:c r="E31" s="117" t="n">
        <x:v>14</x:v>
      </x:c>
    </x:row>
    <x:row r="32">
      <x:c r="D32" s="101" t="str">
        <x:v>Despachos_Varios</x:v>
      </x:c>
      <x:c r="E32" s="117" t="n">
        <x:v>14</x:v>
      </x:c>
    </x:row>
    <x:row r="33">
      <x:c r="D33" s="101" t="str">
        <x:v>ETIQUETAS</x:v>
      </x:c>
      <x:c r="E33" s="117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1">
      <x:c r="A1" s="97" t="str">
        <x:v>Supuestos y Fuentes</x:v>
      </x:c>
      <x:c r="B1" s="97"/>
      <x:c r="C1" s="97"/>
      <x:c r="D1" s="97"/>
    </x:row>
    <x:row r="3">
      <x:c r="A3" s="119" t="str">
        <x:v>Concepto</x:v>
      </x:c>
      <x:c r="B3" s="119" t="str">
        <x:v>Detalle</x:v>
      </x:c>
    </x:row>
    <x:row r="4">
      <x:c r="A4" s="108" t="str">
        <x:v>Fecha base</x:v>
      </x:c>
      <x:c r="B4" s="102" t="str">
        <x:v>2026-08-01</x:v>
      </x:c>
    </x:row>
    <x:row r="5">
      <x:c r="A5" s="108" t="str">
        <x:v>Fecha final referencial</x:v>
      </x:c>
      <x:c r="B5" s="102" t="str">
        <x:v>2026-10-30</x:v>
      </x:c>
    </x:row>
    <x:row r="6">
      <x:c r="A6" s="108" t="str">
        <x:v>Escala</x:v>
      </x:c>
      <x:c r="B6" s="102" t="str">
        <x:v>Semanal; cada columna del calendario representa una semana.</x:v>
      </x:c>
    </x:row>
    <x:row r="7">
      <x:c r="A7" s="108" t="str">
        <x:v>Tipo de Gantt</x:v>
      </x:c>
      <x:c r="B7" s="102" t="str">
        <x:v>Comercial para cliente; resume frentes de negocio y no reemplaza el plan técnico por objeto GX.</x:v>
      </x:c>
    </x:row>
    <x:row r="8">
      <x:c r="A8" s="108" t="str">
        <x:v>Fuente formato</x:v>
      </x:c>
      <x:c r="B8" s="102" t="str">
        <x:v>C:\Users\andre\Downloads\Carta Gantt APERP.xlsx</x:v>
      </x:c>
    </x:row>
    <x:row r="9">
      <x:c r="A9" s="108" t="str">
        <x:v>Fuente inventario</x:v>
      </x:c>
      <x:c r="B9" s="102" t="str">
        <x:v>C:\Proyectos2025\Conex\DocumentacionIA\Inventario_GX8_Conex.xlsx</x:v>
      </x:c>
    </x:row>
    <x:row r="10">
      <x:c r="A10" s="108" t="str">
        <x:v>Inventario base</x:v>
      </x:c>
      <x:c r="B10" s="102" t="str">
        <x:v>774 objetos GX: 225 procedimientos, 105 transacciones, 174 paneles, 55 reportes, 114 tablas.</x:v>
      </x:c>
    </x:row>
    <x:row r="11">
      <x:c r="A11" s="108" t="str">
        <x:v>Documentación considerada</x:v>
      </x:c>
      <x:c r="B11" s="102" t="str">
        <x:v>docs/migration/security-status.md; docs/migration/masters-migration-study.md; docs/migration/APERPSeguridad-mapping.md</x:v>
      </x:c>
    </x:row>
    <x:row r="12">
      <x:c r="A12" s="108" t="str">
        <x:v>Supuesto clave 1</x:v>
      </x:c>
      <x:c r="B12" s="102" t="str">
        <x:v>La empresa autenticada y el modelo multiempresa se mantienen en backend; no se recibe EmpCod desde pantallas de negocio.</x:v>
      </x:c>
    </x:row>
    <x:row r="13">
      <x:c r="A13" s="108" t="str">
        <x:v>Supuesto clave 2</x:v>
      </x:c>
      <x:c r="B13" s="102" t="str">
        <x:v>Seguridad y maestros parten con avance técnico existente, pero quedan sujetos a pruebas contra la base final.</x:v>
      </x:c>
    </x:row>
    <x:row r="14">
      <x:c r="A14" s="108" t="str">
        <x:v>Supuesto clave 3</x:v>
      </x:c>
      <x:c r="B14" s="102" t="str">
        <x:v>Las fechas dependen de confirmar base única o estrategia de dos bases, datos reales, usuarios expertos y menú/programas productivos.</x:v>
      </x:c>
    </x:row>
    <x:row r="15">
      <x:c r="A15" s="108" t="str">
        <x:v>Hito comercial</x:v>
      </x:c>
      <x:c r="B15" s="102" t="str">
        <x:v>UAT, capacitación y plan de salida concentrados en la última semana de octubre de 2026.</x:v>
      </x:c>
    </x:row>
  </x:sheetData>
  <x:pageMargins left="0.7" right="0.7" top="0.75" bottom="0.75" header="0.3" footer="0.3"/>
</x:worksheet>
</file>